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pple/Desktop/PersonalProjects/CodeDoRN/"/>
    </mc:Choice>
  </mc:AlternateContent>
  <xr:revisionPtr revIDLastSave="0" documentId="13_ncr:1_{960DF48D-1135-1D40-8578-6FE30B42B0B2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ummary" sheetId="1" r:id="rId1"/>
    <sheet name="Quiz Worlds" sheetId="2" r:id="rId2"/>
    <sheet name="Fixes 2026-10-14" sheetId="3" r:id="rId3"/>
    <sheet name="Find-error line check" sheetId="4" r:id="rId4"/>
    <sheet name="Topic Coverage" sheetId="5" r:id="rId5"/>
    <sheet name="Open Ite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C24" i="5"/>
  <c r="E24" i="5" s="1"/>
  <c r="B16" i="1" s="1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D21" i="2"/>
  <c r="C21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21" i="2" s="1"/>
  <c r="B7" i="1" s="1"/>
  <c r="E4" i="2"/>
  <c r="B18" i="1"/>
  <c r="B15" i="1"/>
  <c r="B14" i="1"/>
  <c r="B13" i="1"/>
  <c r="B12" i="1"/>
  <c r="B10" i="1"/>
  <c r="B9" i="1"/>
  <c r="B8" i="1"/>
  <c r="B6" i="1"/>
  <c r="B5" i="1"/>
</calcChain>
</file>

<file path=xl/sharedStrings.xml><?xml version="1.0" encoding="utf-8"?>
<sst xmlns="http://schemas.openxmlformats.org/spreadsheetml/2006/main" count="454" uniqueCount="309">
  <si>
    <t>CodeDo quiz and topic-coverage status</t>
  </si>
  <si>
    <t>Generated 2026-10-14. Sources: QUIZ_QUALITY_STANDARD.md, QUIZ_WORLD_&lt;N&gt;_CONCEPT_MAP.md, TOPIC_COVERAGE_AUDIT.md, session work. Figures below are formulas over the other sheets.</t>
  </si>
  <si>
    <t>Quiz banks</t>
  </si>
  <si>
    <t>Worlds with a quiz bank</t>
  </si>
  <si>
    <t>Worlds 1-16</t>
  </si>
  <si>
    <t>Worlds with content audit Done</t>
  </si>
  <si>
    <t>All 16 authored worlds</t>
  </si>
  <si>
    <t>Total quiz questions (Worlds 1-16)</t>
  </si>
  <si>
    <t>Lesson + set + Boss</t>
  </si>
  <si>
    <t>Boss questions</t>
  </si>
  <si>
    <t>12 per world (World 1 included)</t>
  </si>
  <si>
    <t>Worlds with phone review Pending</t>
  </si>
  <si>
    <t>Owned by the user</t>
  </si>
  <si>
    <t>Fixes logged on 2026-10-14</t>
  </si>
  <si>
    <t>Worlds 11, 12, 13, 16 (rows; some cover several questions)</t>
  </si>
  <si>
    <t>Topic coverage</t>
  </si>
  <si>
    <t>Topics done</t>
  </si>
  <si>
    <t>of 20 listed topics/worlds</t>
  </si>
  <si>
    <t>Topics not started</t>
  </si>
  <si>
    <t>Generics, lambdas, sequences, coroutines, World 17</t>
  </si>
  <si>
    <t>Cases matching kotlinc</t>
  </si>
  <si>
    <t>Total cases (done topics)</t>
  </si>
  <si>
    <t>885 replayed in the gate; 5 known limits excluded</t>
  </si>
  <si>
    <t>Match rate</t>
  </si>
  <si>
    <t>Open items</t>
  </si>
  <si>
    <t>Open items (not Done)</t>
  </si>
  <si>
    <t>See Open Items sheet</t>
  </si>
  <si>
    <t>Where we are</t>
  </si>
  <si>
    <t>Quiz content audits are complete for Worlds 1-16 (keys, scope, duplicates, wording, real kotlinc); phone-width visual review is the main open item and belongs to the user.</t>
  </si>
  <si>
    <t>2026-10-14 review of Worlds 11, 12, 13 found and fixed real defects (wrong keys, non-compiling code, reversed explanations); committed as 12aa868.</t>
  </si>
  <si>
    <t>Topic coverage audit: 15 topics done against real kotlinc; generics, lambdas, sequences and coroutines (Worlds 12, 9, 14, 16) have no cases yet; that is the next step.</t>
  </si>
  <si>
    <t>Quiz review status by world (generated 2026-10-14)</t>
  </si>
  <si>
    <t>World</t>
  </si>
  <si>
    <t>Theme (per audit docs)</t>
  </si>
  <si>
    <t>Lesson + set Qs</t>
  </si>
  <si>
    <t>Boss Qs</t>
  </si>
  <si>
    <t>Total Qs</t>
  </si>
  <si>
    <t>Content audit</t>
  </si>
  <si>
    <t>Real kotlinc check</t>
  </si>
  <si>
    <t>Human wording pass</t>
  </si>
  <si>
    <t>Phone review</t>
  </si>
  <si>
    <t>Key findings / notes</t>
  </si>
  <si>
    <t>Basics, strings, chars, numbers</t>
  </si>
  <si>
    <t>Done</t>
  </si>
  <si>
    <t>Done (134 programs)</t>
  </si>
  <si>
    <t>Pending (user)</t>
  </si>
  <si>
    <t>4 reversed explanations, 1 wrong key claim, 1 "error" that compiles, 3 duplicate facts, 1 trivial "hard"; 2 questions added. Total 147 includes Boss.</t>
  </si>
  <si>
    <t>Numbers / operators</t>
  </si>
  <si>
    <t>Done (76 + 12 Boss)</t>
  </si>
  <si>
    <t>2 duplicate scenarios, 2 false find-error claims, ambiguous prefix/postfix comparison, multi-select missing count. 6 soft type-mix warnings remain.</t>
  </si>
  <si>
    <t>Decisions (if/when)</t>
  </si>
  <si>
    <t>Done (67 programs)</t>
  </si>
  <si>
    <t>1 wrong explanation, 1 find-error on wrong line, 8 duplicate scenarios, 3 trivial "hard". Predict-output 45% by design (override recorded).</t>
  </si>
  <si>
    <t>Ranges and loops</t>
  </si>
  <si>
    <t>Done (91 cases)</t>
  </si>
  <si>
    <t>12 items rewritten; 1 infinite-loop find-error changed to compile error; T/F rebalanced. w4q-range-8 printed "true.0" once (flake, not reproduced).</t>
  </si>
  <si>
    <t>Functions</t>
  </si>
  <si>
    <t>Done (95 programs)</t>
  </si>
  <si>
    <t>1 wrong key (named-10), 1 question not matching code (param-5), 2 non-errors, 6 trivial "hard", broken chips.</t>
  </si>
  <si>
    <t>Collections (arrays, lists, sets, maps)</t>
  </si>
  <si>
    <t>Done (all 10 comparisons, 13 error cases)</t>
  </si>
  <si>
    <t>12 multi-select prompts now state answer count; w6q-map-8, change-4, change-8 now compile. Two documented 50% lesson-level type-mix cases.</t>
  </si>
  <si>
    <t>Null safety</t>
  </si>
  <si>
    <t>Done (80 snippets)</t>
  </si>
  <si>
    <t>Done (Codex deep pass)</t>
  </si>
  <si>
    <t>9 of 10 find_error keys pointed one line above the real error; one T/F key wrong ("val can be reassigned" keyed true). 103 distinct explanations of 132.</t>
  </si>
  <si>
    <t>Classes / OOP basics</t>
  </si>
  <si>
    <t>Done (158 keyed)</t>
  </si>
  <si>
    <t>12 questions rewritten (duplicates, out-of-scope enum members, trivial "hard"); 5 multi-selects de-patterned; prompt highlighter fixed for generic types.</t>
  </si>
  <si>
    <t>Lambdas / higher-order functions</t>
  </si>
  <si>
    <t>Done (76 snippets: 46 compile, 30 expected rejections)</t>
  </si>
  <si>
    <t>w9q-9-8 false compile-error claim corrected; Boss distractor rationales repaired; 11 generic T/F prompts noted.</t>
  </si>
  <si>
    <t>Collection operations (lists, maps)</t>
  </si>
  <si>
    <t>Done (28 predictions, 10 comparisons, 16 fill-blanks, 11 find-error)</t>
  </si>
  <si>
    <t>All 114 items reviewed; w10q-1-8 marks the it + 1 expression; 9 generic T/F prompts noted.</t>
  </si>
  <si>
    <t>Classes, interfaces, sealed, data, nested/inner, objects, extensions, delegation, visibility</t>
  </si>
  <si>
    <t>Done (141 cases, 2 fragment false alarms)</t>
  </si>
  <si>
    <t>Done (re-reviewed 2026-10-14)</t>
  </si>
  <si>
    <t>2026-10-14: 3 find-error keys one line early, set-3 used abstract class with non-exhaustive when (did not compile), filler fill-in extprop-7 replaced, reversed/incorrect explanations fixed.</t>
  </si>
  <si>
    <t>Generics (type params, constraints, variance, reified, aliases)</t>
  </si>
  <si>
    <t>Done (173 cases)</t>
  </si>
  <si>
    <t>2026-10-14: use-10 wrong key (target(arrayOf(1)) compiles), api-10 declaration did not compile, in-8 reversed explanation, class-8 distractor had second error, 6 near-duplicate scenarios rewritten.</t>
  </si>
  <si>
    <t>Scope functions</t>
  </si>
  <si>
    <t>Done (78 variants)</t>
  </si>
  <si>
    <t>2026-10-14: 3 comparison explanations referred to "first/second" after A/B swap; Boss 1 wording fixed (Unit, not assignment result).</t>
  </si>
  <si>
    <t>Sequences</t>
  </si>
  <si>
    <t>Done (109 variants)</t>
  </si>
  <si>
    <t>Position-dependent explanations, one incomplete output key, duplicate comparison code and generic prompts repaired.</t>
  </si>
  <si>
    <t>Exceptions</t>
  </si>
  <si>
    <t>Done (92 cases, 46 predict keys match engine)</t>
  </si>
  <si>
    <t>Done (clarity review)</t>
  </si>
  <si>
    <t>Concept map marks complete. Real kotlinc 92 cases, 0 problems; broad-before-specific catch order compiles.</t>
  </si>
  <si>
    <t>Coroutines</t>
  </si>
  <si>
    <t>Done (83 cases, re-run 2026-10-14)</t>
  </si>
  <si>
    <t>Concept map: complete except visual review. 2026-10-14: supervisorscope-10 find-error re-keyed to the line kotlinc reports.</t>
  </si>
  <si>
    <t>(not in curriculum docs reviewed)</t>
  </si>
  <si>
    <t>Not started</t>
  </si>
  <si>
    <t>n/a</t>
  </si>
  <si>
    <t>No quiz bank file exists yet.</t>
  </si>
  <si>
    <t>Total (Worlds 1-16)</t>
  </si>
  <si>
    <t>Notes</t>
  </si>
  <si>
    <t>Counts are lesson + set questions (Boss counted separately); World 1 stores its 12 Boss questions inside the regular count of 147, so the sheet splits it 135 + 12.</t>
  </si>
  <si>
    <t>Counts come from the question banks (web-editor/src/data/quizBank/world&lt;N&gt;Quiz.ts) on 2026-10-14.</t>
  </si>
  <si>
    <t>"Phone review" is owned by the user for every world (QUIZ_QUALITY_STANDARD.md section 12).</t>
  </si>
  <si>
    <t>The standard's section 12 "Next: World 15" is stale: World 15 and 16 concept maps both record completion.</t>
  </si>
  <si>
    <t>Question id</t>
  </si>
  <si>
    <t>Severity</t>
  </si>
  <si>
    <t>Defect</t>
  </si>
  <si>
    <t>What was wrong</t>
  </si>
  <si>
    <t>Fix</t>
  </si>
  <si>
    <t>w11q-companion-6</t>
  </si>
  <si>
    <t>High</t>
  </si>
  <si>
    <t>Wrong find-error key</t>
  </si>
  <si>
    <t>Keyed one line too early (companion object { instead of the fun using $id).</t>
  </si>
  <si>
    <t>Re-keyed to the true error line.</t>
  </si>
  <si>
    <t>w11q-extension-property-11</t>
  </si>
  <si>
    <t>Keyed the closing brace, error is on the extension property line.</t>
  </si>
  <si>
    <t>Re-keyed.</t>
  </si>
  <si>
    <t>w11q-delegprop-6</t>
  </si>
  <si>
    <t>Formatter split "class Box { var count by Fixed() }" so the keyed line showed class Box {.</t>
  </si>
  <si>
    <t>Put the var on its own source line and re-keyed.</t>
  </si>
  <si>
    <t>w11q-set-3</t>
  </si>
  <si>
    <t>Code did not compile</t>
  </si>
  <si>
    <t>abstract class Result with a when and no else: not exhaustive; explanation claimed sealed.</t>
  </si>
  <si>
    <t>Made it sealed class; verified with real kotlinc.</t>
  </si>
  <si>
    <t>w11q-extprop-7</t>
  </si>
  <si>
    <t>Medium</t>
  </si>
  <si>
    <t>Filler question</t>
  </si>
  <si>
    <t>Asked to double a number; explanation referred to other questions.</t>
  </si>
  <si>
    <t>Replaced with a real extension-property getter fill-in (get()).</t>
  </si>
  <si>
    <t>w11q-companion-8</t>
  </si>
  <si>
    <t>Reversed explanation</t>
  </si>
  <si>
    <t>A/B swapped by answer balancing; text described the wrong program.</t>
  </si>
  <si>
    <t>Worded by feature, not position.</t>
  </si>
  <si>
    <t>w11q-sealed-9 / nested-6 / inner-9 / delegation-5 / set-12</t>
  </si>
  <si>
    <t>Low</t>
  </si>
  <si>
    <t>Explanation names things not in code</t>
  </si>
  <si>
    <t>Mentioned Metered, owner, LoudSender, "Engine implements".</t>
  </si>
  <si>
    <t>Corrected names.</t>
  </si>
  <si>
    <t>w11q-data-7</t>
  </si>
  <si>
    <t>Prompt wording</t>
  </si>
  <si>
    <t>Said "Complete the declaration" but blank is in println.</t>
  </si>
  <si>
    <t>Reworded.</t>
  </si>
  <si>
    <t>w12q-use-10</t>
  </si>
  <si>
    <t>Wrong multi-select key</t>
  </si>
  <si>
    <t>target(arrayOf(1)) compiles (T inferred as common supertype), so 3 calls were valid, not 2.</t>
  </si>
  <si>
    <t>Replaced distractors with target(arrayOf&lt;Int&gt;(1)) and view(arrayOf&lt;Int?&gt;(1)); kotlinc rejects both.</t>
  </si>
  <si>
    <t>w12q-api-10</t>
  </si>
  <si>
    <t>Declaration did not compile</t>
  </si>
  <si>
    <t>fun &lt;T&gt; forget(value: T): Any fails on its own (T is nullable); tapped .length line was not the first error.</t>
  </si>
  <si>
    <t>Changed to &lt;T : Any&gt;.</t>
  </si>
  <si>
    <t>w12q-in-8</t>
  </si>
  <si>
    <t>A/B swapped; text said A consumes T when A was the returning version.</t>
  </si>
  <si>
    <t>Worded by feature.</t>
  </si>
  <si>
    <t>w12q-class-8</t>
  </si>
  <si>
    <t>Distractor had a second error</t>
  </si>
  <si>
    <t>LooseBox&lt;T&gt;(item: Any) also fails type inference for T.</t>
  </si>
  <si>
    <t>B is now non-generic LooseBox(val item: Any).</t>
  </si>
  <si>
    <t>w12q-dec-3, dec-7, inv-6, set-10, api-3, api-8</t>
  </si>
  <si>
    <t>Near-duplicate scenarios</t>
  </si>
  <si>
    <t>Same code as out-3 / in-6 / out-9 / fn-8 with renamed values.</t>
  </si>
  <si>
    <t>Rewrote with distinct scenarios; all verified with real kotlinc.</t>
  </si>
  <si>
    <t>w12q-in-6</t>
  </si>
  <si>
    <t>Wrong class name in explanation</t>
  </si>
  <si>
    <t>Said NumberSink; class is Numbers.</t>
  </si>
  <si>
    <t>Corrected.</t>
  </si>
  <si>
    <t>w13q-apply-6, scope-function-chaining-7, set-3-3</t>
  </si>
  <si>
    <t>Position-dependent explanations</t>
  </si>
  <si>
    <t>Said first/second program/chain; answer balancing swapped A/B (set-3-3 described the correct one as first).</t>
  </si>
  <si>
    <t>Name the construct instead of the position.</t>
  </si>
  <si>
    <t>w13q-boss-1</t>
  </si>
  <si>
    <t>Incorrect wording</t>
  </si>
  <si>
    <t>Said run/with return "the assignment result"; assignments have no value.</t>
  </si>
  <si>
    <t>Now says Unit.</t>
  </si>
  <si>
    <t>w16q-supervisorscope-10</t>
  </si>
  <si>
    <t>Find-error key differs from compiler line</t>
  </si>
  <si>
    <t>Keyed val n: Int = supervisorScope {, kotlinc flags the launch line.</t>
  </si>
  <si>
    <t>Re-keyed to the launch line.</t>
  </si>
  <si>
    <t>Commit: 12aa868 "Quiz review fixes for Worlds 11, 12, 13 and 16" (branch feature/web-editor-stage-and-quiz-hub). Gates passed: tsc, test:quiz-bank, audit:quiz-bank, audit:quiz-standard, generate:native-data, real kotlinc.</t>
  </si>
  <si>
    <t>Group</t>
  </si>
  <si>
    <t>Count</t>
  </si>
  <si>
    <t>Meaning</t>
  </si>
  <si>
    <t>Result</t>
  </si>
  <si>
    <t>Offset +4 (exact match)</t>
  </si>
  <si>
    <t>see note</t>
  </si>
  <si>
    <t>Compiler line = keyed line + 4 (standard layout). Exact match for every other find-error question; after the fixes World 11 has all 18, World 12 22, World 16 15.</t>
  </si>
  <si>
    <t>Correct (World 11: 18 after fixes; World 12: 22; World 16: 15; others per world).</t>
  </si>
  <si>
    <t>Offset +5 in Worlds 1, 4, 9, 16</t>
  </si>
  <si>
    <t>Statement-only fragments are wrapped in main, shifting the reported line by one.</t>
  </si>
  <si>
    <t>25 correct; 1 wrong (w16q-supervisorscope-10, fixed).</t>
  </si>
  <si>
    <t>Offset +3 / +2</t>
  </si>
  <si>
    <t>w1q-setstart-3 (unclosed comment reported at its end), w12q-api-10.</t>
  </si>
  <si>
    <t>setstart-3 fine; api-10 was a real defect (fixed).</t>
  </si>
  <si>
    <t>No compile error (runtime cases)</t>
  </si>
  <si>
    <t>w4q-step-8, w6q-arr-9, w6q-create-9, w10q-3-8, w10q-9-8.</t>
  </si>
  <si>
    <t>Expected: documented runtime crashes.</t>
  </si>
  <si>
    <t>Tool limitation</t>
  </si>
  <si>
    <t>scripts/quiz-audit/real.ts accepts +3/+4/+5, so an off-by-one key passes. Exact-line script kept in session scratchpad (not in repo).</t>
  </si>
  <si>
    <t>Open: optionally tighten real.ts (offset depends on fragment layout).</t>
  </si>
  <si>
    <t>Topic-level capability audit: simulator vs real kotlinc (source: TOPIC_COVERAGE_AUDIT.md)</t>
  </si>
  <si>
    <t>Topic</t>
  </si>
  <si>
    <t>Worlds</t>
  </si>
  <si>
    <t>Total cases</t>
  </si>
  <si>
    <t>Match %</t>
  </si>
  <si>
    <t>State</t>
  </si>
  <si>
    <t>Known limits / notes</t>
  </si>
  <si>
    <t>strings</t>
  </si>
  <si>
    <t>1, 6</t>
  </si>
  <si>
    <t>Done (in gate)</t>
  </si>
  <si>
    <t>chars</t>
  </si>
  <si>
    <t>1</t>
  </si>
  <si>
    <t>2 known limits</t>
  </si>
  <si>
    <t>numbers</t>
  </si>
  <si>
    <t>1, 2</t>
  </si>
  <si>
    <t>1 known limit (Long.MAX_VALUE)</t>
  </si>
  <si>
    <t>ranges</t>
  </si>
  <si>
    <t>4</t>
  </si>
  <si>
    <t>decisions</t>
  </si>
  <si>
    <t>3</t>
  </si>
  <si>
    <t>arrays</t>
  </si>
  <si>
    <t>6</t>
  </si>
  <si>
    <t>lists</t>
  </si>
  <si>
    <t>6, 10</t>
  </si>
  <si>
    <t>sets</t>
  </si>
  <si>
    <t>maps</t>
  </si>
  <si>
    <t>collectionsTyped</t>
  </si>
  <si>
    <t>Doubles in collections, +/-, in, ==, word count</t>
  </si>
  <si>
    <t>nulls</t>
  </si>
  <si>
    <t>7</t>
  </si>
  <si>
    <t>exceptions</t>
  </si>
  <si>
    <t>15</t>
  </si>
  <si>
    <t>1 known limit (JDK message of a 1-element list)</t>
  </si>
  <si>
    <t>builders</t>
  </si>
  <si>
    <t>13</t>
  </si>
  <si>
    <t>1 known limit (sb[i]); StringBuilder, buildString/buildList, scope functions</t>
  </si>
  <si>
    <t>functions</t>
  </si>
  <si>
    <t>5</t>
  </si>
  <si>
    <t>default/named args, vararg+spread, recursion, local functions, Pair returns, overloads</t>
  </si>
  <si>
    <t>classes / OOP</t>
  </si>
  <si>
    <t>8, 11</t>
  </si>
  <si>
    <t>classes, ctors, init, accessors, companion, data/enum/interface/abstract/sealed, object, operator overloading, lazy/observable/vetoable, lateinit</t>
  </si>
  <si>
    <t>generics</t>
  </si>
  <si>
    <t>12</t>
  </si>
  <si>
    <t>Write cases first, then audit</t>
  </si>
  <si>
    <t>lambdas / higher-order</t>
  </si>
  <si>
    <t>9</t>
  </si>
  <si>
    <t>sequences</t>
  </si>
  <si>
    <t>14</t>
  </si>
  <si>
    <t>coroutines</t>
  </si>
  <si>
    <t>16</t>
  </si>
  <si>
    <t>(World 17)</t>
  </si>
  <si>
    <t>17</t>
  </si>
  <si>
    <t>Tier 1 not done</t>
  </si>
  <si>
    <t>Total (done topics)</t>
  </si>
  <si>
    <t>Doc states 885 cases replayed by test:topic-coverage: the 5 known-limit cases are excluded from the 890 total (2 chars + 1 numbers + 1 exceptions + 1 builders). kotlinc error agreement: 93.7%, no false rejections.</t>
  </si>
  <si>
    <t>Tier 1 done for Worlds 1-8, 10, 11, 13, 15. Not done: Worlds 9, 12, 14, 16, 17. Tier 2: no dedicated sweep. Tier 3 "not supported" message: done for Flow, Java I/O, kotlinx.serialization; not confirmed for threads/timing, reflection, Java time/net, exact Long beyond 2^53.</t>
  </si>
  <si>
    <t>#</t>
  </si>
  <si>
    <t>Area</t>
  </si>
  <si>
    <t>Item</t>
  </si>
  <si>
    <t>Owner</t>
  </si>
  <si>
    <t>Status</t>
  </si>
  <si>
    <t>Details</t>
  </si>
  <si>
    <t>Quiz</t>
  </si>
  <si>
    <t>Phone-width visual review, Worlds 1-16</t>
  </si>
  <si>
    <t>User</t>
  </si>
  <si>
    <t>Open</t>
  </si>
  <si>
    <t>Multi-line options, code chips, comparison snippets, single_choice with code, formatter fix. Required by standard section 8.</t>
  </si>
  <si>
    <t>Concept maps not updated for 2026-10-14 fixes</t>
  </si>
  <si>
    <t>Claude</t>
  </si>
  <si>
    <t>QUIZ_WORLD_11, 12, 13 (and 16) concept maps need a short "Audit findings" note; standard section 12 asks for it.</t>
  </si>
  <si>
    <t>Standard section 12 progress log is stale</t>
  </si>
  <si>
    <t>Says "Next: World 15" but Worlds 15 and 16 concept maps record completion. Add 2026-10-14 entries.</t>
  </si>
  <si>
    <t>Type-mix soft warnings (42)</t>
  </si>
  <si>
    <t>No type above 40% / at least 3 types per lesson; World 15 shows 6. Mostly predict_output heavy lessons in Worlds 2-4. Overrides need a one-line reason in the concept map.</t>
  </si>
  <si>
    <t>Highlighting rule review, other worlds</t>
  </si>
  <si>
    <t>Worlds 2 and 6 have almost no code chips in explanations. Add broken-chip check to audit:quiz-standard.</t>
  </si>
  <si>
    <t>Predict stock distractors, Worlds 5/12/14</t>
  </si>
  <si>
    <t>Memory note: ~90 Predict questions with repeated filler options. Check whether still current (World 12 predict questions were re-read today and looked fine).</t>
  </si>
  <si>
    <t>Worlds 6, 7, 8 registered in NEW_QUIZ_BANKS?</t>
  </si>
  <si>
    <t>Confirm the app uses them (index.ts); may be stale.</t>
  </si>
  <si>
    <t>w4q-range-8 printed "true.0" once</t>
  </si>
  <si>
    <t>Possible state leak in the runner; not reproduced.</t>
  </si>
  <si>
    <t>Tighten real.ts find-error check to exact offsets</t>
  </si>
  <si>
    <t>Open (optional)</t>
  </si>
  <si>
    <t>Current tolerance +3..+5 hides off-by-one keys; offset depends on fragment layout.</t>
  </si>
  <si>
    <t>Repeated generic prompts</t>
  </si>
  <si>
    <t>Open (polish)</t>
  </si>
  <si>
    <t>e.g. "What does this program print?" x36 in World 13; allowed by standard.</t>
  </si>
  <si>
    <t>scan.ts filler flags w12q-class-2, cst-7</t>
  </si>
  <si>
    <t>Open (likely false positive)</t>
  </si>
  <si>
    <t>Options read fine; standard audit passes.</t>
  </si>
  <si>
    <t>Concept maps list old per-lesson allocations</t>
  </si>
  <si>
    <t>Update each when its lesson questions are re-audited.</t>
  </si>
  <si>
    <t>Write and audit cases: generics (12), lambdas (9), sequences (14), coroutines (16)</t>
  </si>
  <si>
    <t>Next step 1 in TOPIC_COVERAGE_AUDIT.md; cases go in web-editor/scripts/topic-coverage/cases.ts.</t>
  </si>
  <si>
    <t>World 17 Tier 1</t>
  </si>
  <si>
    <t>Tier 2 sweep (removeIf, Triple, buildList, Map.merge, ...)</t>
  </si>
  <si>
    <t>Only extras found while auditing were added.</t>
  </si>
  <si>
    <t>Tier 3 messages: threads/timing, reflection, Java time/net, Long beyond 2^53</t>
  </si>
  <si>
    <t>Confirm each shows a clear "not supported" message after compile checks.</t>
  </si>
  <si>
    <t>Re-run the banking and food-delivery programs end to end</t>
  </si>
  <si>
    <t>Food program previously stopped at toTypedArray, which now exists.</t>
  </si>
  <si>
    <t>Engine gap: Double inside a generic class type parameter</t>
  </si>
  <si>
    <t>Prints 46000 instead of 46000.0 (JS has no Int/Double at runtime).</t>
  </si>
  <si>
    <t>Engine gap: block-body function with no return</t>
  </si>
  <si>
    <t>Yields undefined (prints null) instead of Unit.</t>
  </si>
  <si>
    <t>Engine gap: Int ++/--/+= do not wrap at 32 bits</t>
  </si>
  <si>
    <t>"Uncommitted state" section is stale</t>
  </si>
  <si>
    <t>Doc says nothing is committed; git was clean at the start of this session. MainApplication.kt note should be re-checked.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</si>
</sst>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3" fillId="0" borderId="0" xfId="0" applyFont="1"/>
    <xf numFmtId="0" fontId="4" fillId="7" borderId="0" xfId="0" applyFont="1" applyFill="1"/>
    <xf numFmtId="0" fontId="3" fillId="7" borderId="0" xfId="0" applyFont="1" applyFill="1"/>
    <xf numFmtId="164" fontId="3" fillId="0" borderId="0" xfId="0" applyNumberFormat="1" applyFont="1"/>
    <xf numFmtId="0" fontId="4" fillId="0" borderId="0" xfId="0" applyFo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70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4"/>
      <c r="C4" s="4"/>
    </row>
    <row r="5" spans="1:3" x14ac:dyDescent="0.2">
      <c r="A5" s="2" t="s">
        <v>3</v>
      </c>
      <c r="B5" s="2">
        <f>COUNT('Quiz Worlds'!C4:C20)</f>
        <v>16</v>
      </c>
      <c r="C5" s="2" t="s">
        <v>4</v>
      </c>
    </row>
    <row r="6" spans="1:3" x14ac:dyDescent="0.2">
      <c r="A6" s="2" t="s">
        <v>5</v>
      </c>
      <c r="B6" s="2">
        <f>COUNTIF('Quiz Worlds'!F4:F20,"Done")</f>
        <v>16</v>
      </c>
      <c r="C6" s="2" t="s">
        <v>6</v>
      </c>
    </row>
    <row r="7" spans="1:3" x14ac:dyDescent="0.2">
      <c r="A7" s="2" t="s">
        <v>7</v>
      </c>
      <c r="B7" s="2">
        <f>'Quiz Worlds'!E21</f>
        <v>2135</v>
      </c>
      <c r="C7" s="2" t="s">
        <v>8</v>
      </c>
    </row>
    <row r="8" spans="1:3" x14ac:dyDescent="0.2">
      <c r="A8" s="2" t="s">
        <v>9</v>
      </c>
      <c r="B8" s="2">
        <f>'Quiz Worlds'!D21</f>
        <v>192</v>
      </c>
      <c r="C8" s="2" t="s">
        <v>10</v>
      </c>
    </row>
    <row r="9" spans="1:3" x14ac:dyDescent="0.2">
      <c r="A9" s="2" t="s">
        <v>11</v>
      </c>
      <c r="B9" s="2">
        <f>COUNTIF('Quiz Worlds'!I4:I20,"Pending*")</f>
        <v>16</v>
      </c>
      <c r="C9" s="2" t="s">
        <v>12</v>
      </c>
    </row>
    <row r="10" spans="1:3" x14ac:dyDescent="0.2">
      <c r="A10" s="2" t="s">
        <v>13</v>
      </c>
      <c r="B10" s="2">
        <f>COUNTA('Fixes 2026-10-14'!B2:B18)</f>
        <v>17</v>
      </c>
      <c r="C10" s="2" t="s">
        <v>14</v>
      </c>
    </row>
    <row r="11" spans="1:3" x14ac:dyDescent="0.2">
      <c r="A11" s="3" t="s">
        <v>15</v>
      </c>
      <c r="B11" s="4"/>
      <c r="C11" s="4"/>
    </row>
    <row r="12" spans="1:3" x14ac:dyDescent="0.2">
      <c r="A12" s="2" t="s">
        <v>16</v>
      </c>
      <c r="B12" s="2">
        <f>COUNTIF('Topic Coverage'!F4:F23,"Done*")</f>
        <v>15</v>
      </c>
      <c r="C12" s="2" t="s">
        <v>17</v>
      </c>
    </row>
    <row r="13" spans="1:3" x14ac:dyDescent="0.2">
      <c r="A13" s="2" t="s">
        <v>18</v>
      </c>
      <c r="B13" s="2">
        <f>COUNTIF('Topic Coverage'!F4:F23,"Not started")</f>
        <v>5</v>
      </c>
      <c r="C13" s="2" t="s">
        <v>19</v>
      </c>
    </row>
    <row r="14" spans="1:3" x14ac:dyDescent="0.2">
      <c r="A14" s="2" t="s">
        <v>20</v>
      </c>
      <c r="B14" s="2">
        <f>'Topic Coverage'!C24</f>
        <v>885</v>
      </c>
      <c r="C14" s="2"/>
    </row>
    <row r="15" spans="1:3" x14ac:dyDescent="0.2">
      <c r="A15" s="2" t="s">
        <v>21</v>
      </c>
      <c r="B15" s="2">
        <f>'Topic Coverage'!D24</f>
        <v>890</v>
      </c>
      <c r="C15" s="2" t="s">
        <v>22</v>
      </c>
    </row>
    <row r="16" spans="1:3" x14ac:dyDescent="0.2">
      <c r="A16" s="2" t="s">
        <v>23</v>
      </c>
      <c r="B16" s="5">
        <f>'Topic Coverage'!E24</f>
        <v>0.9943820224719101</v>
      </c>
      <c r="C16" s="2"/>
    </row>
    <row r="17" spans="1:3" x14ac:dyDescent="0.2">
      <c r="A17" s="3" t="s">
        <v>24</v>
      </c>
      <c r="B17" s="4"/>
      <c r="C17" s="4"/>
    </row>
    <row r="18" spans="1:3" x14ac:dyDescent="0.2">
      <c r="A18" s="2" t="s">
        <v>25</v>
      </c>
      <c r="B18" s="2">
        <f>COUNTA('Open Items'!A2:A22)</f>
        <v>21</v>
      </c>
      <c r="C18" s="2" t="s">
        <v>26</v>
      </c>
    </row>
    <row r="21" spans="1:3" x14ac:dyDescent="0.2">
      <c r="A21" s="6" t="s">
        <v>27</v>
      </c>
    </row>
    <row r="22" spans="1:3" x14ac:dyDescent="0.2">
      <c r="A22" s="2" t="s">
        <v>28</v>
      </c>
    </row>
    <row r="23" spans="1:3" x14ac:dyDescent="0.2">
      <c r="A23" s="2" t="s">
        <v>29</v>
      </c>
    </row>
    <row r="24" spans="1:3" x14ac:dyDescent="0.2">
      <c r="A24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ySplit="3" topLeftCell="A4" activePane="bottomLeft" state="frozen"/>
      <selection pane="bottomLeft" activeCell="J30" sqref="J30"/>
    </sheetView>
  </sheetViews>
  <sheetFormatPr baseColWidth="10" defaultColWidth="8.83203125" defaultRowHeight="15" x14ac:dyDescent="0.2"/>
  <cols>
    <col min="1" max="1" width="9.5" customWidth="1"/>
    <col min="2" max="2" width="36.33203125" customWidth="1"/>
    <col min="3" max="3" width="16.33203125" customWidth="1"/>
    <col min="4" max="5" width="10" customWidth="1"/>
    <col min="6" max="6" width="14" customWidth="1"/>
    <col min="7" max="7" width="34" customWidth="1"/>
    <col min="8" max="8" width="26" customWidth="1"/>
    <col min="9" max="9" width="16" customWidth="1"/>
    <col min="10" max="10" width="90" customWidth="1"/>
  </cols>
  <sheetData>
    <row r="1" spans="1:10" ht="17" x14ac:dyDescent="0.2">
      <c r="A1" s="7" t="s">
        <v>31</v>
      </c>
    </row>
    <row r="3" spans="1:10" ht="28" x14ac:dyDescent="0.2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</row>
    <row r="4" spans="1:10" ht="28" x14ac:dyDescent="0.2">
      <c r="A4" s="9">
        <v>1</v>
      </c>
      <c r="B4" s="9" t="s">
        <v>42</v>
      </c>
      <c r="C4" s="9">
        <v>135</v>
      </c>
      <c r="D4" s="9">
        <v>12</v>
      </c>
      <c r="E4" s="9">
        <f t="shared" ref="E4:E19" si="0">C4+D4</f>
        <v>147</v>
      </c>
      <c r="F4" s="10" t="s">
        <v>43</v>
      </c>
      <c r="G4" s="9" t="s">
        <v>44</v>
      </c>
      <c r="H4" s="9" t="s">
        <v>43</v>
      </c>
      <c r="I4" s="11" t="s">
        <v>45</v>
      </c>
      <c r="J4" s="9" t="s">
        <v>46</v>
      </c>
    </row>
    <row r="5" spans="1:10" ht="28" x14ac:dyDescent="0.2">
      <c r="A5" s="9">
        <v>2</v>
      </c>
      <c r="B5" s="9" t="s">
        <v>47</v>
      </c>
      <c r="C5" s="9">
        <v>78</v>
      </c>
      <c r="D5" s="9">
        <v>12</v>
      </c>
      <c r="E5" s="9">
        <f t="shared" si="0"/>
        <v>90</v>
      </c>
      <c r="F5" s="10" t="s">
        <v>43</v>
      </c>
      <c r="G5" s="9" t="s">
        <v>48</v>
      </c>
      <c r="H5" s="9" t="s">
        <v>43</v>
      </c>
      <c r="I5" s="11" t="s">
        <v>45</v>
      </c>
      <c r="J5" s="9" t="s">
        <v>49</v>
      </c>
    </row>
    <row r="6" spans="1:10" ht="28" x14ac:dyDescent="0.2">
      <c r="A6" s="9">
        <v>3</v>
      </c>
      <c r="B6" s="9" t="s">
        <v>50</v>
      </c>
      <c r="C6" s="9">
        <v>82</v>
      </c>
      <c r="D6" s="9">
        <v>12</v>
      </c>
      <c r="E6" s="9">
        <f t="shared" si="0"/>
        <v>94</v>
      </c>
      <c r="F6" s="10" t="s">
        <v>43</v>
      </c>
      <c r="G6" s="9" t="s">
        <v>51</v>
      </c>
      <c r="H6" s="9" t="s">
        <v>43</v>
      </c>
      <c r="I6" s="11" t="s">
        <v>45</v>
      </c>
      <c r="J6" s="9" t="s">
        <v>52</v>
      </c>
    </row>
    <row r="7" spans="1:10" ht="28" x14ac:dyDescent="0.2">
      <c r="A7" s="9">
        <v>4</v>
      </c>
      <c r="B7" s="9" t="s">
        <v>53</v>
      </c>
      <c r="C7" s="9">
        <v>116</v>
      </c>
      <c r="D7" s="9">
        <v>12</v>
      </c>
      <c r="E7" s="9">
        <f t="shared" si="0"/>
        <v>128</v>
      </c>
      <c r="F7" s="10" t="s">
        <v>43</v>
      </c>
      <c r="G7" s="9" t="s">
        <v>54</v>
      </c>
      <c r="H7" s="9" t="s">
        <v>43</v>
      </c>
      <c r="I7" s="11" t="s">
        <v>45</v>
      </c>
      <c r="J7" s="9" t="s">
        <v>55</v>
      </c>
    </row>
    <row r="8" spans="1:10" ht="24" customHeight="1" x14ac:dyDescent="0.2">
      <c r="A8" s="9">
        <v>5</v>
      </c>
      <c r="B8" s="9" t="s">
        <v>56</v>
      </c>
      <c r="C8" s="9">
        <v>92</v>
      </c>
      <c r="D8" s="9">
        <v>12</v>
      </c>
      <c r="E8" s="9">
        <f t="shared" si="0"/>
        <v>104</v>
      </c>
      <c r="F8" s="10" t="s">
        <v>43</v>
      </c>
      <c r="G8" s="9" t="s">
        <v>57</v>
      </c>
      <c r="H8" s="9" t="s">
        <v>43</v>
      </c>
      <c r="I8" s="11" t="s">
        <v>45</v>
      </c>
      <c r="J8" s="9" t="s">
        <v>58</v>
      </c>
    </row>
    <row r="9" spans="1:10" ht="28" x14ac:dyDescent="0.2">
      <c r="A9" s="9">
        <v>6</v>
      </c>
      <c r="B9" s="9" t="s">
        <v>59</v>
      </c>
      <c r="C9" s="9">
        <v>116</v>
      </c>
      <c r="D9" s="9">
        <v>12</v>
      </c>
      <c r="E9" s="9">
        <f t="shared" si="0"/>
        <v>128</v>
      </c>
      <c r="F9" s="10" t="s">
        <v>43</v>
      </c>
      <c r="G9" s="9" t="s">
        <v>60</v>
      </c>
      <c r="H9" s="9" t="s">
        <v>43</v>
      </c>
      <c r="I9" s="11" t="s">
        <v>45</v>
      </c>
      <c r="J9" s="9" t="s">
        <v>61</v>
      </c>
    </row>
    <row r="10" spans="1:10" ht="28" x14ac:dyDescent="0.2">
      <c r="A10" s="9">
        <v>7</v>
      </c>
      <c r="B10" s="9" t="s">
        <v>62</v>
      </c>
      <c r="C10" s="9">
        <v>120</v>
      </c>
      <c r="D10" s="9">
        <v>12</v>
      </c>
      <c r="E10" s="9">
        <f t="shared" si="0"/>
        <v>132</v>
      </c>
      <c r="F10" s="10" t="s">
        <v>43</v>
      </c>
      <c r="G10" s="9" t="s">
        <v>63</v>
      </c>
      <c r="H10" s="9" t="s">
        <v>64</v>
      </c>
      <c r="I10" s="11" t="s">
        <v>45</v>
      </c>
      <c r="J10" s="9" t="s">
        <v>65</v>
      </c>
    </row>
    <row r="11" spans="1:10" ht="28" x14ac:dyDescent="0.2">
      <c r="A11" s="9">
        <v>8</v>
      </c>
      <c r="B11" s="9" t="s">
        <v>66</v>
      </c>
      <c r="C11" s="9">
        <v>146</v>
      </c>
      <c r="D11" s="9">
        <v>12</v>
      </c>
      <c r="E11" s="9">
        <f t="shared" si="0"/>
        <v>158</v>
      </c>
      <c r="F11" s="10" t="s">
        <v>43</v>
      </c>
      <c r="G11" s="9" t="s">
        <v>67</v>
      </c>
      <c r="H11" s="9" t="s">
        <v>43</v>
      </c>
      <c r="I11" s="11" t="s">
        <v>45</v>
      </c>
      <c r="J11" s="9" t="s">
        <v>68</v>
      </c>
    </row>
    <row r="12" spans="1:10" ht="28" x14ac:dyDescent="0.2">
      <c r="A12" s="9">
        <v>9</v>
      </c>
      <c r="B12" s="9" t="s">
        <v>69</v>
      </c>
      <c r="C12" s="9">
        <v>126</v>
      </c>
      <c r="D12" s="9">
        <v>12</v>
      </c>
      <c r="E12" s="9">
        <f t="shared" si="0"/>
        <v>138</v>
      </c>
      <c r="F12" s="10" t="s">
        <v>43</v>
      </c>
      <c r="G12" s="9" t="s">
        <v>70</v>
      </c>
      <c r="H12" s="9" t="s">
        <v>64</v>
      </c>
      <c r="I12" s="11" t="s">
        <v>45</v>
      </c>
      <c r="J12" s="9" t="s">
        <v>71</v>
      </c>
    </row>
    <row r="13" spans="1:10" ht="28" x14ac:dyDescent="0.2">
      <c r="A13" s="9">
        <v>10</v>
      </c>
      <c r="B13" s="9" t="s">
        <v>72</v>
      </c>
      <c r="C13" s="9">
        <v>102</v>
      </c>
      <c r="D13" s="9">
        <v>12</v>
      </c>
      <c r="E13" s="9">
        <f t="shared" si="0"/>
        <v>114</v>
      </c>
      <c r="F13" s="10" t="s">
        <v>43</v>
      </c>
      <c r="G13" s="9" t="s">
        <v>73</v>
      </c>
      <c r="H13" s="9" t="s">
        <v>64</v>
      </c>
      <c r="I13" s="11" t="s">
        <v>45</v>
      </c>
      <c r="J13" s="9" t="s">
        <v>74</v>
      </c>
    </row>
    <row r="14" spans="1:10" ht="42" x14ac:dyDescent="0.2">
      <c r="A14" s="9">
        <v>11</v>
      </c>
      <c r="B14" s="9" t="s">
        <v>75</v>
      </c>
      <c r="C14" s="9">
        <v>151</v>
      </c>
      <c r="D14" s="9">
        <v>12</v>
      </c>
      <c r="E14" s="9">
        <f t="shared" si="0"/>
        <v>163</v>
      </c>
      <c r="F14" s="10" t="s">
        <v>43</v>
      </c>
      <c r="G14" s="9" t="s">
        <v>76</v>
      </c>
      <c r="H14" s="9" t="s">
        <v>77</v>
      </c>
      <c r="I14" s="11" t="s">
        <v>45</v>
      </c>
      <c r="J14" s="9" t="s">
        <v>78</v>
      </c>
    </row>
    <row r="15" spans="1:10" ht="28" x14ac:dyDescent="0.2">
      <c r="A15" s="9">
        <v>12</v>
      </c>
      <c r="B15" s="9" t="s">
        <v>79</v>
      </c>
      <c r="C15" s="9">
        <v>157</v>
      </c>
      <c r="D15" s="9">
        <v>12</v>
      </c>
      <c r="E15" s="9">
        <f t="shared" si="0"/>
        <v>169</v>
      </c>
      <c r="F15" s="10" t="s">
        <v>43</v>
      </c>
      <c r="G15" s="9" t="s">
        <v>80</v>
      </c>
      <c r="H15" s="9" t="s">
        <v>77</v>
      </c>
      <c r="I15" s="11" t="s">
        <v>45</v>
      </c>
      <c r="J15" s="9" t="s">
        <v>81</v>
      </c>
    </row>
    <row r="16" spans="1:10" ht="28" x14ac:dyDescent="0.2">
      <c r="A16" s="9">
        <v>13</v>
      </c>
      <c r="B16" s="9" t="s">
        <v>82</v>
      </c>
      <c r="C16" s="9">
        <v>100</v>
      </c>
      <c r="D16" s="9">
        <v>12</v>
      </c>
      <c r="E16" s="9">
        <f t="shared" si="0"/>
        <v>112</v>
      </c>
      <c r="F16" s="10" t="s">
        <v>43</v>
      </c>
      <c r="G16" s="9" t="s">
        <v>83</v>
      </c>
      <c r="H16" s="9" t="s">
        <v>77</v>
      </c>
      <c r="I16" s="11" t="s">
        <v>45</v>
      </c>
      <c r="J16" s="9" t="s">
        <v>84</v>
      </c>
    </row>
    <row r="17" spans="1:10" ht="28" x14ac:dyDescent="0.2">
      <c r="A17" s="9">
        <v>14</v>
      </c>
      <c r="B17" s="9" t="s">
        <v>85</v>
      </c>
      <c r="C17" s="9">
        <v>137</v>
      </c>
      <c r="D17" s="9">
        <v>12</v>
      </c>
      <c r="E17" s="9">
        <f t="shared" si="0"/>
        <v>149</v>
      </c>
      <c r="F17" s="10" t="s">
        <v>43</v>
      </c>
      <c r="G17" s="9" t="s">
        <v>86</v>
      </c>
      <c r="H17" s="9" t="s">
        <v>43</v>
      </c>
      <c r="I17" s="11" t="s">
        <v>45</v>
      </c>
      <c r="J17" s="9" t="s">
        <v>87</v>
      </c>
    </row>
    <row r="18" spans="1:10" ht="28" x14ac:dyDescent="0.2">
      <c r="A18" s="9">
        <v>15</v>
      </c>
      <c r="B18" s="9" t="s">
        <v>88</v>
      </c>
      <c r="C18" s="9">
        <v>158</v>
      </c>
      <c r="D18" s="9">
        <v>12</v>
      </c>
      <c r="E18" s="9">
        <f t="shared" si="0"/>
        <v>170</v>
      </c>
      <c r="F18" s="10" t="s">
        <v>43</v>
      </c>
      <c r="G18" s="9" t="s">
        <v>89</v>
      </c>
      <c r="H18" s="9" t="s">
        <v>90</v>
      </c>
      <c r="I18" s="11" t="s">
        <v>45</v>
      </c>
      <c r="J18" s="9" t="s">
        <v>91</v>
      </c>
    </row>
    <row r="19" spans="1:10" ht="28" x14ac:dyDescent="0.2">
      <c r="A19" s="9">
        <v>16</v>
      </c>
      <c r="B19" s="9" t="s">
        <v>92</v>
      </c>
      <c r="C19" s="9">
        <v>127</v>
      </c>
      <c r="D19" s="9">
        <v>12</v>
      </c>
      <c r="E19" s="9">
        <f t="shared" si="0"/>
        <v>139</v>
      </c>
      <c r="F19" s="10" t="s">
        <v>43</v>
      </c>
      <c r="G19" s="9" t="s">
        <v>93</v>
      </c>
      <c r="H19" s="9" t="s">
        <v>43</v>
      </c>
      <c r="I19" s="11" t="s">
        <v>45</v>
      </c>
      <c r="J19" s="9" t="s">
        <v>94</v>
      </c>
    </row>
    <row r="20" spans="1:10" x14ac:dyDescent="0.2">
      <c r="A20" s="9">
        <v>17</v>
      </c>
      <c r="B20" s="9" t="s">
        <v>95</v>
      </c>
      <c r="C20" s="9"/>
      <c r="D20" s="9"/>
      <c r="E20" s="9"/>
      <c r="F20" s="9" t="s">
        <v>96</v>
      </c>
      <c r="G20" s="9" t="s">
        <v>97</v>
      </c>
      <c r="H20" s="9" t="s">
        <v>97</v>
      </c>
      <c r="I20" s="9" t="s">
        <v>97</v>
      </c>
      <c r="J20" s="9" t="s">
        <v>98</v>
      </c>
    </row>
    <row r="21" spans="1:10" x14ac:dyDescent="0.2">
      <c r="B21" s="6" t="s">
        <v>99</v>
      </c>
      <c r="C21" s="6">
        <f>SUM(C4:C20)</f>
        <v>1943</v>
      </c>
      <c r="D21" s="6">
        <f>SUM(D4:D20)</f>
        <v>192</v>
      </c>
      <c r="E21" s="6">
        <f>SUM(E4:E20)</f>
        <v>2135</v>
      </c>
    </row>
    <row r="23" spans="1:10" x14ac:dyDescent="0.2">
      <c r="A23" s="6" t="s">
        <v>100</v>
      </c>
    </row>
    <row r="24" spans="1:10" x14ac:dyDescent="0.2">
      <c r="A24" s="2" t="s">
        <v>101</v>
      </c>
    </row>
    <row r="25" spans="1:10" x14ac:dyDescent="0.2">
      <c r="A25" s="2" t="s">
        <v>102</v>
      </c>
    </row>
    <row r="26" spans="1:10" x14ac:dyDescent="0.2">
      <c r="A26" s="2" t="s">
        <v>103</v>
      </c>
    </row>
    <row r="27" spans="1:10" x14ac:dyDescent="0.2">
      <c r="A27" s="2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0" customWidth="1"/>
    <col min="3" max="3" width="10" customWidth="1"/>
    <col min="4" max="4" width="28" customWidth="1"/>
    <col min="5" max="6" width="60" customWidth="1"/>
  </cols>
  <sheetData>
    <row r="1" spans="1:6" x14ac:dyDescent="0.2">
      <c r="A1" s="8" t="s">
        <v>32</v>
      </c>
      <c r="B1" s="8" t="s">
        <v>105</v>
      </c>
      <c r="C1" s="8" t="s">
        <v>106</v>
      </c>
      <c r="D1" s="8" t="s">
        <v>107</v>
      </c>
      <c r="E1" s="8" t="s">
        <v>108</v>
      </c>
      <c r="F1" s="8" t="s">
        <v>109</v>
      </c>
    </row>
    <row r="2" spans="1:6" x14ac:dyDescent="0.2">
      <c r="A2" s="9">
        <v>11</v>
      </c>
      <c r="B2" s="9" t="s">
        <v>110</v>
      </c>
      <c r="C2" s="12" t="s">
        <v>111</v>
      </c>
      <c r="D2" s="9" t="s">
        <v>112</v>
      </c>
      <c r="E2" s="9" t="s">
        <v>113</v>
      </c>
      <c r="F2" s="9" t="s">
        <v>114</v>
      </c>
    </row>
    <row r="3" spans="1:6" x14ac:dyDescent="0.2">
      <c r="A3" s="9">
        <v>11</v>
      </c>
      <c r="B3" s="9" t="s">
        <v>115</v>
      </c>
      <c r="C3" s="12" t="s">
        <v>111</v>
      </c>
      <c r="D3" s="9" t="s">
        <v>112</v>
      </c>
      <c r="E3" s="9" t="s">
        <v>116</v>
      </c>
      <c r="F3" s="9" t="s">
        <v>117</v>
      </c>
    </row>
    <row r="4" spans="1:6" ht="28" x14ac:dyDescent="0.2">
      <c r="A4" s="9">
        <v>11</v>
      </c>
      <c r="B4" s="9" t="s">
        <v>118</v>
      </c>
      <c r="C4" s="12" t="s">
        <v>111</v>
      </c>
      <c r="D4" s="9" t="s">
        <v>112</v>
      </c>
      <c r="E4" s="9" t="s">
        <v>119</v>
      </c>
      <c r="F4" s="9" t="s">
        <v>120</v>
      </c>
    </row>
    <row r="5" spans="1:6" ht="28" x14ac:dyDescent="0.2">
      <c r="A5" s="9">
        <v>11</v>
      </c>
      <c r="B5" s="9" t="s">
        <v>121</v>
      </c>
      <c r="C5" s="12" t="s">
        <v>111</v>
      </c>
      <c r="D5" s="9" t="s">
        <v>122</v>
      </c>
      <c r="E5" s="9" t="s">
        <v>123</v>
      </c>
      <c r="F5" s="9" t="s">
        <v>124</v>
      </c>
    </row>
    <row r="6" spans="1:6" x14ac:dyDescent="0.2">
      <c r="A6" s="9">
        <v>11</v>
      </c>
      <c r="B6" s="9" t="s">
        <v>125</v>
      </c>
      <c r="C6" s="13" t="s">
        <v>126</v>
      </c>
      <c r="D6" s="9" t="s">
        <v>127</v>
      </c>
      <c r="E6" s="9" t="s">
        <v>128</v>
      </c>
      <c r="F6" s="9" t="s">
        <v>129</v>
      </c>
    </row>
    <row r="7" spans="1:6" x14ac:dyDescent="0.2">
      <c r="A7" s="9">
        <v>11</v>
      </c>
      <c r="B7" s="9" t="s">
        <v>130</v>
      </c>
      <c r="C7" s="13" t="s">
        <v>126</v>
      </c>
      <c r="D7" s="9" t="s">
        <v>131</v>
      </c>
      <c r="E7" s="9" t="s">
        <v>132</v>
      </c>
      <c r="F7" s="9" t="s">
        <v>133</v>
      </c>
    </row>
    <row r="8" spans="1:6" ht="28" x14ac:dyDescent="0.2">
      <c r="A8" s="9">
        <v>11</v>
      </c>
      <c r="B8" s="9" t="s">
        <v>134</v>
      </c>
      <c r="C8" s="10" t="s">
        <v>135</v>
      </c>
      <c r="D8" s="9" t="s">
        <v>136</v>
      </c>
      <c r="E8" s="9" t="s">
        <v>137</v>
      </c>
      <c r="F8" s="9" t="s">
        <v>138</v>
      </c>
    </row>
    <row r="9" spans="1:6" x14ac:dyDescent="0.2">
      <c r="A9" s="9">
        <v>11</v>
      </c>
      <c r="B9" s="9" t="s">
        <v>139</v>
      </c>
      <c r="C9" s="10" t="s">
        <v>135</v>
      </c>
      <c r="D9" s="9" t="s">
        <v>140</v>
      </c>
      <c r="E9" s="9" t="s">
        <v>141</v>
      </c>
      <c r="F9" s="9" t="s">
        <v>142</v>
      </c>
    </row>
    <row r="10" spans="1:6" ht="28" x14ac:dyDescent="0.2">
      <c r="A10" s="9">
        <v>12</v>
      </c>
      <c r="B10" s="9" t="s">
        <v>143</v>
      </c>
      <c r="C10" s="12" t="s">
        <v>111</v>
      </c>
      <c r="D10" s="9" t="s">
        <v>144</v>
      </c>
      <c r="E10" s="9" t="s">
        <v>145</v>
      </c>
      <c r="F10" s="9" t="s">
        <v>146</v>
      </c>
    </row>
    <row r="11" spans="1:6" ht="28" x14ac:dyDescent="0.2">
      <c r="A11" s="9">
        <v>12</v>
      </c>
      <c r="B11" s="9" t="s">
        <v>147</v>
      </c>
      <c r="C11" s="12" t="s">
        <v>111</v>
      </c>
      <c r="D11" s="9" t="s">
        <v>148</v>
      </c>
      <c r="E11" s="9" t="s">
        <v>149</v>
      </c>
      <c r="F11" s="9" t="s">
        <v>150</v>
      </c>
    </row>
    <row r="12" spans="1:6" x14ac:dyDescent="0.2">
      <c r="A12" s="9">
        <v>12</v>
      </c>
      <c r="B12" s="9" t="s">
        <v>151</v>
      </c>
      <c r="C12" s="13" t="s">
        <v>126</v>
      </c>
      <c r="D12" s="9" t="s">
        <v>131</v>
      </c>
      <c r="E12" s="9" t="s">
        <v>152</v>
      </c>
      <c r="F12" s="9" t="s">
        <v>153</v>
      </c>
    </row>
    <row r="13" spans="1:6" x14ac:dyDescent="0.2">
      <c r="A13" s="9">
        <v>12</v>
      </c>
      <c r="B13" s="9" t="s">
        <v>154</v>
      </c>
      <c r="C13" s="13" t="s">
        <v>126</v>
      </c>
      <c r="D13" s="9" t="s">
        <v>155</v>
      </c>
      <c r="E13" s="9" t="s">
        <v>156</v>
      </c>
      <c r="F13" s="9" t="s">
        <v>157</v>
      </c>
    </row>
    <row r="14" spans="1:6" x14ac:dyDescent="0.2">
      <c r="A14" s="9">
        <v>12</v>
      </c>
      <c r="B14" s="9" t="s">
        <v>158</v>
      </c>
      <c r="C14" s="10" t="s">
        <v>135</v>
      </c>
      <c r="D14" s="9" t="s">
        <v>159</v>
      </c>
      <c r="E14" s="9" t="s">
        <v>160</v>
      </c>
      <c r="F14" s="9" t="s">
        <v>161</v>
      </c>
    </row>
    <row r="15" spans="1:6" x14ac:dyDescent="0.2">
      <c r="A15" s="9">
        <v>12</v>
      </c>
      <c r="B15" s="9" t="s">
        <v>162</v>
      </c>
      <c r="C15" s="10" t="s">
        <v>135</v>
      </c>
      <c r="D15" s="9" t="s">
        <v>163</v>
      </c>
      <c r="E15" s="9" t="s">
        <v>164</v>
      </c>
      <c r="F15" s="9" t="s">
        <v>165</v>
      </c>
    </row>
    <row r="16" spans="1:6" ht="28" x14ac:dyDescent="0.2">
      <c r="A16" s="9">
        <v>13</v>
      </c>
      <c r="B16" s="9" t="s">
        <v>166</v>
      </c>
      <c r="C16" s="13" t="s">
        <v>126</v>
      </c>
      <c r="D16" s="9" t="s">
        <v>167</v>
      </c>
      <c r="E16" s="9" t="s">
        <v>168</v>
      </c>
      <c r="F16" s="9" t="s">
        <v>169</v>
      </c>
    </row>
    <row r="17" spans="1:6" x14ac:dyDescent="0.2">
      <c r="A17" s="9">
        <v>13</v>
      </c>
      <c r="B17" s="9" t="s">
        <v>170</v>
      </c>
      <c r="C17" s="10" t="s">
        <v>135</v>
      </c>
      <c r="D17" s="9" t="s">
        <v>171</v>
      </c>
      <c r="E17" s="9" t="s">
        <v>172</v>
      </c>
      <c r="F17" s="9" t="s">
        <v>173</v>
      </c>
    </row>
    <row r="18" spans="1:6" ht="28" x14ac:dyDescent="0.2">
      <c r="A18" s="9">
        <v>16</v>
      </c>
      <c r="B18" s="9" t="s">
        <v>174</v>
      </c>
      <c r="C18" s="13" t="s">
        <v>126</v>
      </c>
      <c r="D18" s="9" t="s">
        <v>175</v>
      </c>
      <c r="E18" s="9" t="s">
        <v>176</v>
      </c>
      <c r="F18" s="9" t="s">
        <v>177</v>
      </c>
    </row>
    <row r="20" spans="1:6" x14ac:dyDescent="0.2">
      <c r="A20" s="2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0" customWidth="1"/>
    <col min="3" max="3" width="70" customWidth="1"/>
    <col min="4" max="4" width="60" customWidth="1"/>
  </cols>
  <sheetData>
    <row r="1" spans="1:4" x14ac:dyDescent="0.2">
      <c r="A1" s="8" t="s">
        <v>179</v>
      </c>
      <c r="B1" s="8" t="s">
        <v>180</v>
      </c>
      <c r="C1" s="8" t="s">
        <v>181</v>
      </c>
      <c r="D1" s="8" t="s">
        <v>182</v>
      </c>
    </row>
    <row r="2" spans="1:4" ht="28" x14ac:dyDescent="0.2">
      <c r="A2" s="9" t="s">
        <v>183</v>
      </c>
      <c r="B2" s="9" t="s">
        <v>184</v>
      </c>
      <c r="C2" s="9" t="s">
        <v>185</v>
      </c>
      <c r="D2" s="9" t="s">
        <v>186</v>
      </c>
    </row>
    <row r="3" spans="1:4" x14ac:dyDescent="0.2">
      <c r="A3" s="9" t="s">
        <v>187</v>
      </c>
      <c r="B3" s="9">
        <v>26</v>
      </c>
      <c r="C3" s="9" t="s">
        <v>188</v>
      </c>
      <c r="D3" s="9" t="s">
        <v>189</v>
      </c>
    </row>
    <row r="4" spans="1:4" x14ac:dyDescent="0.2">
      <c r="A4" s="9" t="s">
        <v>190</v>
      </c>
      <c r="B4" s="9">
        <v>2</v>
      </c>
      <c r="C4" s="9" t="s">
        <v>191</v>
      </c>
      <c r="D4" s="9" t="s">
        <v>192</v>
      </c>
    </row>
    <row r="5" spans="1:4" x14ac:dyDescent="0.2">
      <c r="A5" s="9" t="s">
        <v>193</v>
      </c>
      <c r="B5" s="9">
        <v>5</v>
      </c>
      <c r="C5" s="9" t="s">
        <v>194</v>
      </c>
      <c r="D5" s="9" t="s">
        <v>195</v>
      </c>
    </row>
    <row r="6" spans="1:4" ht="28" x14ac:dyDescent="0.2">
      <c r="A6" s="9" t="s">
        <v>196</v>
      </c>
      <c r="B6" s="9"/>
      <c r="C6" s="9" t="s">
        <v>197</v>
      </c>
      <c r="D6" s="9" t="s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0" customWidth="1"/>
    <col min="3" max="3" width="22" customWidth="1"/>
    <col min="4" max="4" width="13" customWidth="1"/>
    <col min="5" max="5" width="10" customWidth="1"/>
    <col min="6" max="6" width="18" customWidth="1"/>
    <col min="7" max="7" width="80" customWidth="1"/>
  </cols>
  <sheetData>
    <row r="1" spans="1:7" ht="17" x14ac:dyDescent="0.2">
      <c r="A1" s="7" t="s">
        <v>199</v>
      </c>
    </row>
    <row r="3" spans="1:7" x14ac:dyDescent="0.2">
      <c r="A3" s="8" t="s">
        <v>200</v>
      </c>
      <c r="B3" s="8" t="s">
        <v>201</v>
      </c>
      <c r="C3" s="8" t="s">
        <v>20</v>
      </c>
      <c r="D3" s="8" t="s">
        <v>202</v>
      </c>
      <c r="E3" s="8" t="s">
        <v>203</v>
      </c>
      <c r="F3" s="8" t="s">
        <v>204</v>
      </c>
      <c r="G3" s="8" t="s">
        <v>205</v>
      </c>
    </row>
    <row r="4" spans="1:7" x14ac:dyDescent="0.2">
      <c r="A4" s="9" t="s">
        <v>206</v>
      </c>
      <c r="B4" s="9" t="s">
        <v>207</v>
      </c>
      <c r="C4" s="9">
        <v>109</v>
      </c>
      <c r="D4" s="9">
        <v>109</v>
      </c>
      <c r="E4" s="14">
        <f t="shared" ref="E4:E18" si="0">IFERROR(C4/D4,"")</f>
        <v>1</v>
      </c>
      <c r="F4" s="10" t="s">
        <v>208</v>
      </c>
      <c r="G4" s="9"/>
    </row>
    <row r="5" spans="1:7" x14ac:dyDescent="0.2">
      <c r="A5" s="9" t="s">
        <v>209</v>
      </c>
      <c r="B5" s="9" t="s">
        <v>210</v>
      </c>
      <c r="C5" s="9">
        <v>32</v>
      </c>
      <c r="D5" s="9">
        <v>34</v>
      </c>
      <c r="E5" s="14">
        <f t="shared" si="0"/>
        <v>0.94117647058823528</v>
      </c>
      <c r="F5" s="10" t="s">
        <v>43</v>
      </c>
      <c r="G5" s="9" t="s">
        <v>211</v>
      </c>
    </row>
    <row r="6" spans="1:7" x14ac:dyDescent="0.2">
      <c r="A6" s="9" t="s">
        <v>212</v>
      </c>
      <c r="B6" s="9" t="s">
        <v>213</v>
      </c>
      <c r="C6" s="9">
        <v>98</v>
      </c>
      <c r="D6" s="9">
        <v>99</v>
      </c>
      <c r="E6" s="14">
        <f t="shared" si="0"/>
        <v>0.98989898989898994</v>
      </c>
      <c r="F6" s="10" t="s">
        <v>43</v>
      </c>
      <c r="G6" s="9" t="s">
        <v>214</v>
      </c>
    </row>
    <row r="7" spans="1:7" x14ac:dyDescent="0.2">
      <c r="A7" s="9" t="s">
        <v>215</v>
      </c>
      <c r="B7" s="9" t="s">
        <v>216</v>
      </c>
      <c r="C7" s="9">
        <v>57</v>
      </c>
      <c r="D7" s="9">
        <v>57</v>
      </c>
      <c r="E7" s="14">
        <f t="shared" si="0"/>
        <v>1</v>
      </c>
      <c r="F7" s="10" t="s">
        <v>43</v>
      </c>
      <c r="G7" s="9"/>
    </row>
    <row r="8" spans="1:7" x14ac:dyDescent="0.2">
      <c r="A8" s="9" t="s">
        <v>217</v>
      </c>
      <c r="B8" s="9" t="s">
        <v>218</v>
      </c>
      <c r="C8" s="9">
        <v>28</v>
      </c>
      <c r="D8" s="9">
        <v>28</v>
      </c>
      <c r="E8" s="14">
        <f t="shared" si="0"/>
        <v>1</v>
      </c>
      <c r="F8" s="10" t="s">
        <v>43</v>
      </c>
      <c r="G8" s="9"/>
    </row>
    <row r="9" spans="1:7" x14ac:dyDescent="0.2">
      <c r="A9" s="9" t="s">
        <v>219</v>
      </c>
      <c r="B9" s="9" t="s">
        <v>220</v>
      </c>
      <c r="C9" s="9">
        <v>45</v>
      </c>
      <c r="D9" s="9">
        <v>45</v>
      </c>
      <c r="E9" s="14">
        <f t="shared" si="0"/>
        <v>1</v>
      </c>
      <c r="F9" s="10" t="s">
        <v>43</v>
      </c>
      <c r="G9" s="9"/>
    </row>
    <row r="10" spans="1:7" x14ac:dyDescent="0.2">
      <c r="A10" s="9" t="s">
        <v>221</v>
      </c>
      <c r="B10" s="9" t="s">
        <v>222</v>
      </c>
      <c r="C10" s="9">
        <v>139</v>
      </c>
      <c r="D10" s="9">
        <v>139</v>
      </c>
      <c r="E10" s="14">
        <f t="shared" si="0"/>
        <v>1</v>
      </c>
      <c r="F10" s="10" t="s">
        <v>43</v>
      </c>
      <c r="G10" s="9"/>
    </row>
    <row r="11" spans="1:7" x14ac:dyDescent="0.2">
      <c r="A11" s="9" t="s">
        <v>223</v>
      </c>
      <c r="B11" s="9" t="s">
        <v>220</v>
      </c>
      <c r="C11" s="9">
        <v>35</v>
      </c>
      <c r="D11" s="9">
        <v>35</v>
      </c>
      <c r="E11" s="14">
        <f t="shared" si="0"/>
        <v>1</v>
      </c>
      <c r="F11" s="10" t="s">
        <v>43</v>
      </c>
      <c r="G11" s="9"/>
    </row>
    <row r="12" spans="1:7" x14ac:dyDescent="0.2">
      <c r="A12" s="9" t="s">
        <v>224</v>
      </c>
      <c r="B12" s="9" t="s">
        <v>222</v>
      </c>
      <c r="C12" s="9">
        <v>71</v>
      </c>
      <c r="D12" s="9">
        <v>71</v>
      </c>
      <c r="E12" s="14">
        <f t="shared" si="0"/>
        <v>1</v>
      </c>
      <c r="F12" s="10" t="s">
        <v>43</v>
      </c>
      <c r="G12" s="9"/>
    </row>
    <row r="13" spans="1:7" x14ac:dyDescent="0.2">
      <c r="A13" s="9" t="s">
        <v>225</v>
      </c>
      <c r="B13" s="9" t="s">
        <v>222</v>
      </c>
      <c r="C13" s="9">
        <v>13</v>
      </c>
      <c r="D13" s="9">
        <v>13</v>
      </c>
      <c r="E13" s="14">
        <f t="shared" si="0"/>
        <v>1</v>
      </c>
      <c r="F13" s="10" t="s">
        <v>43</v>
      </c>
      <c r="G13" s="9" t="s">
        <v>226</v>
      </c>
    </row>
    <row r="14" spans="1:7" x14ac:dyDescent="0.2">
      <c r="A14" s="9" t="s">
        <v>227</v>
      </c>
      <c r="B14" s="9" t="s">
        <v>228</v>
      </c>
      <c r="C14" s="9">
        <v>46</v>
      </c>
      <c r="D14" s="9">
        <v>46</v>
      </c>
      <c r="E14" s="14">
        <f t="shared" si="0"/>
        <v>1</v>
      </c>
      <c r="F14" s="10" t="s">
        <v>43</v>
      </c>
      <c r="G14" s="9"/>
    </row>
    <row r="15" spans="1:7" x14ac:dyDescent="0.2">
      <c r="A15" s="9" t="s">
        <v>229</v>
      </c>
      <c r="B15" s="9" t="s">
        <v>230</v>
      </c>
      <c r="C15" s="9">
        <v>41</v>
      </c>
      <c r="D15" s="9">
        <v>42</v>
      </c>
      <c r="E15" s="14">
        <f t="shared" si="0"/>
        <v>0.97619047619047616</v>
      </c>
      <c r="F15" s="10" t="s">
        <v>43</v>
      </c>
      <c r="G15" s="9" t="s">
        <v>231</v>
      </c>
    </row>
    <row r="16" spans="1:7" x14ac:dyDescent="0.2">
      <c r="A16" s="9" t="s">
        <v>232</v>
      </c>
      <c r="B16" s="9" t="s">
        <v>233</v>
      </c>
      <c r="C16" s="9">
        <v>24</v>
      </c>
      <c r="D16" s="9">
        <v>25</v>
      </c>
      <c r="E16" s="14">
        <f t="shared" si="0"/>
        <v>0.96</v>
      </c>
      <c r="F16" s="10" t="s">
        <v>43</v>
      </c>
      <c r="G16" s="9" t="s">
        <v>234</v>
      </c>
    </row>
    <row r="17" spans="1:7" x14ac:dyDescent="0.2">
      <c r="A17" s="9" t="s">
        <v>235</v>
      </c>
      <c r="B17" s="9" t="s">
        <v>236</v>
      </c>
      <c r="C17" s="9">
        <v>57</v>
      </c>
      <c r="D17" s="9">
        <v>57</v>
      </c>
      <c r="E17" s="14">
        <f t="shared" si="0"/>
        <v>1</v>
      </c>
      <c r="F17" s="10" t="s">
        <v>43</v>
      </c>
      <c r="G17" s="9" t="s">
        <v>237</v>
      </c>
    </row>
    <row r="18" spans="1:7" ht="28" x14ac:dyDescent="0.2">
      <c r="A18" s="9" t="s">
        <v>238</v>
      </c>
      <c r="B18" s="9" t="s">
        <v>239</v>
      </c>
      <c r="C18" s="9">
        <v>90</v>
      </c>
      <c r="D18" s="9">
        <v>90</v>
      </c>
      <c r="E18" s="14">
        <f t="shared" si="0"/>
        <v>1</v>
      </c>
      <c r="F18" s="10" t="s">
        <v>208</v>
      </c>
      <c r="G18" s="9" t="s">
        <v>240</v>
      </c>
    </row>
    <row r="19" spans="1:7" x14ac:dyDescent="0.2">
      <c r="A19" s="9" t="s">
        <v>241</v>
      </c>
      <c r="B19" s="9" t="s">
        <v>242</v>
      </c>
      <c r="C19" s="9"/>
      <c r="D19" s="9"/>
      <c r="E19" s="9"/>
      <c r="F19" s="9" t="s">
        <v>96</v>
      </c>
      <c r="G19" s="9" t="s">
        <v>243</v>
      </c>
    </row>
    <row r="20" spans="1:7" x14ac:dyDescent="0.2">
      <c r="A20" s="9" t="s">
        <v>244</v>
      </c>
      <c r="B20" s="9" t="s">
        <v>245</v>
      </c>
      <c r="C20" s="9"/>
      <c r="D20" s="9"/>
      <c r="E20" s="9"/>
      <c r="F20" s="9" t="s">
        <v>96</v>
      </c>
      <c r="G20" s="9" t="s">
        <v>243</v>
      </c>
    </row>
    <row r="21" spans="1:7" x14ac:dyDescent="0.2">
      <c r="A21" s="9" t="s">
        <v>246</v>
      </c>
      <c r="B21" s="9" t="s">
        <v>247</v>
      </c>
      <c r="C21" s="9"/>
      <c r="D21" s="9"/>
      <c r="E21" s="9"/>
      <c r="F21" s="9" t="s">
        <v>96</v>
      </c>
      <c r="G21" s="9" t="s">
        <v>243</v>
      </c>
    </row>
    <row r="22" spans="1:7" x14ac:dyDescent="0.2">
      <c r="A22" s="9" t="s">
        <v>248</v>
      </c>
      <c r="B22" s="9" t="s">
        <v>249</v>
      </c>
      <c r="C22" s="9"/>
      <c r="D22" s="9"/>
      <c r="E22" s="9"/>
      <c r="F22" s="9" t="s">
        <v>96</v>
      </c>
      <c r="G22" s="9" t="s">
        <v>243</v>
      </c>
    </row>
    <row r="23" spans="1:7" x14ac:dyDescent="0.2">
      <c r="A23" s="9" t="s">
        <v>250</v>
      </c>
      <c r="B23" s="9" t="s">
        <v>251</v>
      </c>
      <c r="C23" s="9"/>
      <c r="D23" s="9"/>
      <c r="E23" s="9"/>
      <c r="F23" s="9" t="s">
        <v>96</v>
      </c>
      <c r="G23" s="9" t="s">
        <v>252</v>
      </c>
    </row>
    <row r="24" spans="1:7" x14ac:dyDescent="0.2">
      <c r="A24" s="6" t="s">
        <v>253</v>
      </c>
      <c r="C24" s="6">
        <f>SUM(C4:C23)</f>
        <v>885</v>
      </c>
      <c r="D24" s="6">
        <f>SUM(D4:D23)</f>
        <v>890</v>
      </c>
      <c r="E24" s="15">
        <f>C24/D24</f>
        <v>0.9943820224719101</v>
      </c>
    </row>
    <row r="26" spans="1:7" x14ac:dyDescent="0.2">
      <c r="A26" s="2" t="s">
        <v>254</v>
      </c>
    </row>
    <row r="27" spans="1:7" x14ac:dyDescent="0.2">
      <c r="A27" s="2" t="s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60" customWidth="1"/>
    <col min="4" max="4" width="10" customWidth="1"/>
    <col min="5" max="5" width="22" customWidth="1"/>
    <col min="6" max="6" width="90" customWidth="1"/>
  </cols>
  <sheetData>
    <row r="1" spans="1:6" x14ac:dyDescent="0.2">
      <c r="A1" s="8" t="s">
        <v>256</v>
      </c>
      <c r="B1" s="8" t="s">
        <v>257</v>
      </c>
      <c r="C1" s="8" t="s">
        <v>258</v>
      </c>
      <c r="D1" s="8" t="s">
        <v>259</v>
      </c>
      <c r="E1" s="8" t="s">
        <v>260</v>
      </c>
      <c r="F1" s="8" t="s">
        <v>261</v>
      </c>
    </row>
    <row r="2" spans="1:6" ht="28" x14ac:dyDescent="0.2">
      <c r="A2" s="9">
        <v>1</v>
      </c>
      <c r="B2" s="9" t="s">
        <v>262</v>
      </c>
      <c r="C2" s="9" t="s">
        <v>263</v>
      </c>
      <c r="D2" s="9" t="s">
        <v>264</v>
      </c>
      <c r="E2" s="11" t="s">
        <v>265</v>
      </c>
      <c r="F2" s="9" t="s">
        <v>266</v>
      </c>
    </row>
    <row r="3" spans="1:6" ht="28" x14ac:dyDescent="0.2">
      <c r="A3" s="9">
        <v>2</v>
      </c>
      <c r="B3" s="9" t="s">
        <v>262</v>
      </c>
      <c r="C3" s="9" t="s">
        <v>267</v>
      </c>
      <c r="D3" s="9" t="s">
        <v>268</v>
      </c>
      <c r="E3" s="11" t="s">
        <v>265</v>
      </c>
      <c r="F3" s="9" t="s">
        <v>269</v>
      </c>
    </row>
    <row r="4" spans="1:6" x14ac:dyDescent="0.2">
      <c r="A4" s="9">
        <v>3</v>
      </c>
      <c r="B4" s="9" t="s">
        <v>262</v>
      </c>
      <c r="C4" s="9" t="s">
        <v>270</v>
      </c>
      <c r="D4" s="9" t="s">
        <v>268</v>
      </c>
      <c r="E4" s="11" t="s">
        <v>265</v>
      </c>
      <c r="F4" s="9" t="s">
        <v>271</v>
      </c>
    </row>
    <row r="5" spans="1:6" ht="28" x14ac:dyDescent="0.2">
      <c r="A5" s="9">
        <v>4</v>
      </c>
      <c r="B5" s="9" t="s">
        <v>262</v>
      </c>
      <c r="C5" s="9" t="s">
        <v>272</v>
      </c>
      <c r="D5" s="9" t="s">
        <v>268</v>
      </c>
      <c r="E5" s="11" t="s">
        <v>265</v>
      </c>
      <c r="F5" s="9" t="s">
        <v>273</v>
      </c>
    </row>
    <row r="6" spans="1:6" x14ac:dyDescent="0.2">
      <c r="A6" s="9">
        <v>5</v>
      </c>
      <c r="B6" s="9" t="s">
        <v>262</v>
      </c>
      <c r="C6" s="9" t="s">
        <v>274</v>
      </c>
      <c r="D6" s="9" t="s">
        <v>268</v>
      </c>
      <c r="E6" s="11" t="s">
        <v>265</v>
      </c>
      <c r="F6" s="9" t="s">
        <v>275</v>
      </c>
    </row>
    <row r="7" spans="1:6" ht="28" x14ac:dyDescent="0.2">
      <c r="A7" s="9">
        <v>6</v>
      </c>
      <c r="B7" s="9" t="s">
        <v>262</v>
      </c>
      <c r="C7" s="9" t="s">
        <v>276</v>
      </c>
      <c r="D7" s="9" t="s">
        <v>268</v>
      </c>
      <c r="E7" s="11" t="s">
        <v>265</v>
      </c>
      <c r="F7" s="9" t="s">
        <v>277</v>
      </c>
    </row>
    <row r="8" spans="1:6" x14ac:dyDescent="0.2">
      <c r="A8" s="9">
        <v>7</v>
      </c>
      <c r="B8" s="9" t="s">
        <v>262</v>
      </c>
      <c r="C8" s="9" t="s">
        <v>278</v>
      </c>
      <c r="D8" s="9" t="s">
        <v>268</v>
      </c>
      <c r="E8" s="11" t="s">
        <v>265</v>
      </c>
      <c r="F8" s="9" t="s">
        <v>279</v>
      </c>
    </row>
    <row r="9" spans="1:6" x14ac:dyDescent="0.2">
      <c r="A9" s="9">
        <v>8</v>
      </c>
      <c r="B9" s="9" t="s">
        <v>262</v>
      </c>
      <c r="C9" s="9" t="s">
        <v>280</v>
      </c>
      <c r="D9" s="9" t="s">
        <v>268</v>
      </c>
      <c r="E9" s="11" t="s">
        <v>265</v>
      </c>
      <c r="F9" s="9" t="s">
        <v>281</v>
      </c>
    </row>
    <row r="10" spans="1:6" x14ac:dyDescent="0.2">
      <c r="A10" s="9">
        <v>9</v>
      </c>
      <c r="B10" s="9" t="s">
        <v>262</v>
      </c>
      <c r="C10" s="9" t="s">
        <v>282</v>
      </c>
      <c r="D10" s="9" t="s">
        <v>268</v>
      </c>
      <c r="E10" s="11" t="s">
        <v>283</v>
      </c>
      <c r="F10" s="9" t="s">
        <v>284</v>
      </c>
    </row>
    <row r="11" spans="1:6" x14ac:dyDescent="0.2">
      <c r="A11" s="9">
        <v>10</v>
      </c>
      <c r="B11" s="9" t="s">
        <v>262</v>
      </c>
      <c r="C11" s="9" t="s">
        <v>285</v>
      </c>
      <c r="D11" s="9" t="s">
        <v>268</v>
      </c>
      <c r="E11" s="11" t="s">
        <v>286</v>
      </c>
      <c r="F11" s="9" t="s">
        <v>287</v>
      </c>
    </row>
    <row r="12" spans="1:6" x14ac:dyDescent="0.2">
      <c r="A12" s="9">
        <v>11</v>
      </c>
      <c r="B12" s="9" t="s">
        <v>262</v>
      </c>
      <c r="C12" s="9" t="s">
        <v>288</v>
      </c>
      <c r="D12" s="9" t="s">
        <v>268</v>
      </c>
      <c r="E12" s="11" t="s">
        <v>289</v>
      </c>
      <c r="F12" s="9" t="s">
        <v>290</v>
      </c>
    </row>
    <row r="13" spans="1:6" x14ac:dyDescent="0.2">
      <c r="A13" s="9">
        <v>12</v>
      </c>
      <c r="B13" s="9" t="s">
        <v>262</v>
      </c>
      <c r="C13" s="9" t="s">
        <v>291</v>
      </c>
      <c r="D13" s="9" t="s">
        <v>268</v>
      </c>
      <c r="E13" s="11" t="s">
        <v>265</v>
      </c>
      <c r="F13" s="9" t="s">
        <v>292</v>
      </c>
    </row>
    <row r="14" spans="1:6" ht="28" x14ac:dyDescent="0.2">
      <c r="A14" s="9">
        <v>13</v>
      </c>
      <c r="B14" s="9" t="s">
        <v>15</v>
      </c>
      <c r="C14" s="9" t="s">
        <v>293</v>
      </c>
      <c r="D14" s="9" t="s">
        <v>268</v>
      </c>
      <c r="E14" s="9" t="s">
        <v>96</v>
      </c>
      <c r="F14" s="9" t="s">
        <v>294</v>
      </c>
    </row>
    <row r="15" spans="1:6" x14ac:dyDescent="0.2">
      <c r="A15" s="9">
        <v>14</v>
      </c>
      <c r="B15" s="9" t="s">
        <v>15</v>
      </c>
      <c r="C15" s="9" t="s">
        <v>295</v>
      </c>
      <c r="D15" s="9" t="s">
        <v>268</v>
      </c>
      <c r="E15" s="9" t="s">
        <v>96</v>
      </c>
      <c r="F15" s="9"/>
    </row>
    <row r="16" spans="1:6" x14ac:dyDescent="0.2">
      <c r="A16" s="9">
        <v>15</v>
      </c>
      <c r="B16" s="9" t="s">
        <v>15</v>
      </c>
      <c r="C16" s="9" t="s">
        <v>296</v>
      </c>
      <c r="D16" s="9" t="s">
        <v>268</v>
      </c>
      <c r="E16" s="9" t="s">
        <v>96</v>
      </c>
      <c r="F16" s="9" t="s">
        <v>297</v>
      </c>
    </row>
    <row r="17" spans="1:6" ht="28" x14ac:dyDescent="0.2">
      <c r="A17" s="9">
        <v>16</v>
      </c>
      <c r="B17" s="9" t="s">
        <v>15</v>
      </c>
      <c r="C17" s="9" t="s">
        <v>298</v>
      </c>
      <c r="D17" s="9" t="s">
        <v>268</v>
      </c>
      <c r="E17" s="11" t="s">
        <v>265</v>
      </c>
      <c r="F17" s="9" t="s">
        <v>299</v>
      </c>
    </row>
    <row r="18" spans="1:6" x14ac:dyDescent="0.2">
      <c r="A18" s="9">
        <v>17</v>
      </c>
      <c r="B18" s="9" t="s">
        <v>15</v>
      </c>
      <c r="C18" s="9" t="s">
        <v>300</v>
      </c>
      <c r="D18" s="9" t="s">
        <v>268</v>
      </c>
      <c r="E18" s="11" t="s">
        <v>265</v>
      </c>
      <c r="F18" s="9" t="s">
        <v>301</v>
      </c>
    </row>
    <row r="19" spans="1:6" x14ac:dyDescent="0.2">
      <c r="A19" s="9">
        <v>18</v>
      </c>
      <c r="B19" s="9" t="s">
        <v>15</v>
      </c>
      <c r="C19" s="9" t="s">
        <v>302</v>
      </c>
      <c r="D19" s="9" t="s">
        <v>268</v>
      </c>
      <c r="E19" s="11" t="s">
        <v>265</v>
      </c>
      <c r="F19" s="9" t="s">
        <v>303</v>
      </c>
    </row>
    <row r="20" spans="1:6" x14ac:dyDescent="0.2">
      <c r="A20" s="9">
        <v>19</v>
      </c>
      <c r="B20" s="9" t="s">
        <v>15</v>
      </c>
      <c r="C20" s="9" t="s">
        <v>304</v>
      </c>
      <c r="D20" s="9" t="s">
        <v>268</v>
      </c>
      <c r="E20" s="11" t="s">
        <v>265</v>
      </c>
      <c r="F20" s="9" t="s">
        <v>305</v>
      </c>
    </row>
    <row r="21" spans="1:6" x14ac:dyDescent="0.2">
      <c r="A21" s="9">
        <v>20</v>
      </c>
      <c r="B21" s="9" t="s">
        <v>15</v>
      </c>
      <c r="C21" s="9" t="s">
        <v>306</v>
      </c>
      <c r="D21" s="9" t="s">
        <v>268</v>
      </c>
      <c r="E21" s="11" t="s">
        <v>265</v>
      </c>
      <c r="F21" s="9"/>
    </row>
    <row r="22" spans="1:6" ht="28" x14ac:dyDescent="0.2">
      <c r="A22" s="9">
        <v>21</v>
      </c>
      <c r="B22" s="9" t="s">
        <v>15</v>
      </c>
      <c r="C22" s="9" t="s">
        <v>307</v>
      </c>
      <c r="D22" s="9" t="s">
        <v>268</v>
      </c>
      <c r="E22" s="11" t="s">
        <v>265</v>
      </c>
      <c r="F22" s="9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Quiz Worlds</vt:lpstr>
      <vt:lpstr>Fixes 2026-10-14</vt:lpstr>
      <vt:lpstr>Find-error line check</vt:lpstr>
      <vt:lpstr>Topic Coverage</vt:lpstr>
      <vt:lpstr>Open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Sharma</cp:lastModifiedBy>
  <dcterms:created xsi:type="dcterms:W3CDTF">2026-10-14T10:17:29Z</dcterms:created>
  <dcterms:modified xsi:type="dcterms:W3CDTF">2026-10-14T10:30:34Z</dcterms:modified>
</cp:coreProperties>
</file>